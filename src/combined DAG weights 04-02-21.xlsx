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anwsmith/Downloads/"/>
    </mc:Choice>
  </mc:AlternateContent>
  <xr:revisionPtr revIDLastSave="0" documentId="8_{F877E04A-C8AE-7141-9A04-146E795FBCA5}" xr6:coauthVersionLast="46" xr6:coauthVersionMax="46" xr10:uidLastSave="{00000000-0000-0000-0000-000000000000}"/>
  <bookViews>
    <workbookView xWindow="0" yWindow="0" windowWidth="28800" windowHeight="18000" xr2:uid="{D628A972-F8CE-534B-BFE8-A73E23812F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F15" i="1" s="1"/>
  <c r="E15" i="1"/>
  <c r="F3" i="1"/>
  <c r="F4" i="1"/>
  <c r="F5" i="1"/>
  <c r="F6" i="1"/>
  <c r="F7" i="1"/>
  <c r="F8" i="1"/>
  <c r="F9" i="1"/>
  <c r="F10" i="1"/>
  <c r="F11" i="1"/>
  <c r="F12" i="1"/>
  <c r="F13" i="1"/>
  <c r="F14" i="1"/>
  <c r="E3" i="1"/>
  <c r="E4" i="1"/>
  <c r="E5" i="1"/>
  <c r="E6" i="1"/>
  <c r="E7" i="1"/>
  <c r="E8" i="1"/>
  <c r="E9" i="1"/>
  <c r="E10" i="1"/>
  <c r="E11" i="1"/>
  <c r="E12" i="1"/>
  <c r="E13" i="1"/>
  <c r="E14" i="1"/>
  <c r="D13" i="1"/>
  <c r="D14" i="1"/>
  <c r="D12" i="1"/>
  <c r="D3" i="1"/>
  <c r="D4" i="1"/>
  <c r="D5" i="1"/>
  <c r="D6" i="1"/>
  <c r="D7" i="1"/>
  <c r="D8" i="1"/>
  <c r="D9" i="1"/>
  <c r="D10" i="1"/>
  <c r="D11" i="1"/>
  <c r="F2" i="1"/>
  <c r="E2" i="1"/>
  <c r="D2" i="1"/>
</calcChain>
</file>

<file path=xl/sharedStrings.xml><?xml version="1.0" encoding="utf-8"?>
<sst xmlns="http://schemas.openxmlformats.org/spreadsheetml/2006/main" count="20" uniqueCount="20">
  <si>
    <t>Edge</t>
  </si>
  <si>
    <t>coef</t>
  </si>
  <si>
    <t>S.E.</t>
  </si>
  <si>
    <t>±</t>
  </si>
  <si>
    <t>repro -&gt; weight</t>
  </si>
  <si>
    <t>fat -&gt; weight</t>
  </si>
  <si>
    <t>sex -&gt; weight</t>
  </si>
  <si>
    <t>diet -&gt; weight</t>
  </si>
  <si>
    <t>env -&gt; repro</t>
  </si>
  <si>
    <t>env -&gt; fat</t>
  </si>
  <si>
    <t>sex -&gt; fat</t>
  </si>
  <si>
    <t>time -&gt; fat</t>
  </si>
  <si>
    <t>diet -&gt; OD</t>
  </si>
  <si>
    <t>weight -&gt; OD</t>
  </si>
  <si>
    <t>coef (3sf)</t>
  </si>
  <si>
    <t>± (3sf)</t>
  </si>
  <si>
    <t>sex -&gt; OD</t>
  </si>
  <si>
    <t>env -&gt; OD</t>
  </si>
  <si>
    <t>time -&gt; OD</t>
  </si>
  <si>
    <t>vax -&gt;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</si>
</sst>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A1F9-5514-B14A-947C-BFD15FAE1902}">
  <dimension ref="A1:F15"/>
  <sheetViews>
    <sheetView tabSelected="1" workbookViewId="0">
      <selection activeCell="A14" sqref="A14:XFD14"/>
    </sheetView>
  </sheetViews>
  <sheetFormatPr baseColWidth="10" defaultRowHeight="16" x14ac:dyDescent="0.2"/>
  <cols>
    <col min="1" max="1" width="21.6640625" style="1" customWidth="1"/>
    <col min="2" max="4" width="10.83203125" style="1"/>
    <col min="5" max="5" width="13.1640625" style="1" bestFit="1" customWidth="1"/>
    <col min="6" max="16384" width="10.83203125" style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14</v>
      </c>
      <c r="F1" s="2" t="s">
        <v>15</v>
      </c>
    </row>
    <row r="2" spans="1:6" x14ac:dyDescent="0.2">
      <c r="A2" s="2" t="s">
        <v>4</v>
      </c>
      <c r="B2" s="2">
        <v>1.2941199999999999</v>
      </c>
      <c r="C2" s="2">
        <v>0.68337199999999998</v>
      </c>
      <c r="D2" s="2">
        <f>1.96*C2</f>
        <v>1.33940912</v>
      </c>
      <c r="E2" s="3">
        <f>ROUND(B2,3-INT(LOG(ABS(B2)))-1)</f>
        <v>1.29</v>
      </c>
      <c r="F2" s="3">
        <f>ROUND(D2,3-INT(LOG(ABS(D2)))-1)</f>
        <v>1.34</v>
      </c>
    </row>
    <row r="3" spans="1:6" x14ac:dyDescent="0.2">
      <c r="A3" s="2" t="s">
        <v>5</v>
      </c>
      <c r="B3" s="2">
        <v>0.42198799999999997</v>
      </c>
      <c r="C3" s="2">
        <v>0.179922</v>
      </c>
      <c r="D3" s="2">
        <f t="shared" ref="D3:D15" si="0">1.96*C3</f>
        <v>0.35264711999999998</v>
      </c>
      <c r="E3" s="3">
        <f t="shared" ref="E3:E15" si="1">ROUND(B3,3-INT(LOG(ABS(B3)))-1)</f>
        <v>0.42199999999999999</v>
      </c>
      <c r="F3" s="3">
        <f t="shared" ref="F3:F15" si="2">ROUND(D3,3-INT(LOG(ABS(D3)))-1)</f>
        <v>0.35299999999999998</v>
      </c>
    </row>
    <row r="4" spans="1:6" x14ac:dyDescent="0.2">
      <c r="A4" s="2" t="s">
        <v>6</v>
      </c>
      <c r="B4" s="2">
        <v>3.4647399999999999</v>
      </c>
      <c r="C4" s="2">
        <v>0.91000800000000004</v>
      </c>
      <c r="D4" s="2">
        <f t="shared" si="0"/>
        <v>1.78361568</v>
      </c>
      <c r="E4" s="3">
        <f t="shared" si="1"/>
        <v>3.46</v>
      </c>
      <c r="F4" s="3">
        <f t="shared" si="2"/>
        <v>1.78</v>
      </c>
    </row>
    <row r="5" spans="1:6" x14ac:dyDescent="0.2">
      <c r="A5" s="2" t="s">
        <v>7</v>
      </c>
      <c r="B5" s="2">
        <v>1.49776</v>
      </c>
      <c r="C5" s="2">
        <v>0.71079899999999996</v>
      </c>
      <c r="D5" s="2">
        <f t="shared" si="0"/>
        <v>1.3931660399999999</v>
      </c>
      <c r="E5" s="3">
        <f t="shared" si="1"/>
        <v>1.5</v>
      </c>
      <c r="F5" s="3">
        <f t="shared" si="2"/>
        <v>1.39</v>
      </c>
    </row>
    <row r="6" spans="1:6" x14ac:dyDescent="0.2">
      <c r="A6" s="2" t="s">
        <v>8</v>
      </c>
      <c r="B6" s="2">
        <v>0.58206100000000005</v>
      </c>
      <c r="C6" s="2">
        <v>5.2427799999999997E-2</v>
      </c>
      <c r="D6" s="2">
        <f t="shared" si="0"/>
        <v>0.102758488</v>
      </c>
      <c r="E6" s="3">
        <f t="shared" si="1"/>
        <v>0.58199999999999996</v>
      </c>
      <c r="F6" s="3">
        <f t="shared" si="2"/>
        <v>0.10299999999999999</v>
      </c>
    </row>
    <row r="7" spans="1:6" x14ac:dyDescent="0.2">
      <c r="A7" s="2" t="s">
        <v>9</v>
      </c>
      <c r="B7" s="2">
        <v>-2.3131599999999999</v>
      </c>
      <c r="C7" s="2">
        <v>0.19588800000000001</v>
      </c>
      <c r="D7" s="2">
        <f t="shared" si="0"/>
        <v>0.38394048000000003</v>
      </c>
      <c r="E7" s="3">
        <f t="shared" si="1"/>
        <v>-2.31</v>
      </c>
      <c r="F7" s="3">
        <f t="shared" si="2"/>
        <v>0.38400000000000001</v>
      </c>
    </row>
    <row r="8" spans="1:6" x14ac:dyDescent="0.2">
      <c r="A8" s="2" t="s">
        <v>10</v>
      </c>
      <c r="B8" s="2">
        <v>0.49928699999999998</v>
      </c>
      <c r="C8" s="2">
        <v>0.17905299999999999</v>
      </c>
      <c r="D8" s="2">
        <f t="shared" si="0"/>
        <v>0.35094387999999999</v>
      </c>
      <c r="E8" s="3">
        <f t="shared" si="1"/>
        <v>0.499</v>
      </c>
      <c r="F8" s="3">
        <f t="shared" si="2"/>
        <v>0.35099999999999998</v>
      </c>
    </row>
    <row r="9" spans="1:6" x14ac:dyDescent="0.2">
      <c r="A9" s="2" t="s">
        <v>11</v>
      </c>
      <c r="B9" s="2">
        <v>-2.0188999999999999E-2</v>
      </c>
      <c r="C9" s="2">
        <v>1.0680200000000001E-2</v>
      </c>
      <c r="D9" s="2">
        <f t="shared" si="0"/>
        <v>2.0933192E-2</v>
      </c>
      <c r="E9" s="3">
        <f t="shared" si="1"/>
        <v>-2.0199999999999999E-2</v>
      </c>
      <c r="F9" s="3">
        <f t="shared" si="2"/>
        <v>2.0899999999999998E-2</v>
      </c>
    </row>
    <row r="10" spans="1:6" x14ac:dyDescent="0.2">
      <c r="A10" s="2" t="s">
        <v>12</v>
      </c>
      <c r="B10" s="2">
        <v>-0.24217900000000001</v>
      </c>
      <c r="C10" s="2">
        <v>8.0588000000000007E-2</v>
      </c>
      <c r="D10" s="2">
        <f t="shared" si="0"/>
        <v>0.15795248000000001</v>
      </c>
      <c r="E10" s="3">
        <f t="shared" si="1"/>
        <v>-0.24199999999999999</v>
      </c>
      <c r="F10" s="3">
        <f t="shared" si="2"/>
        <v>0.158</v>
      </c>
    </row>
    <row r="11" spans="1:6" x14ac:dyDescent="0.2">
      <c r="A11" s="2" t="s">
        <v>13</v>
      </c>
      <c r="B11" s="2">
        <v>-2.5344499999999999E-2</v>
      </c>
      <c r="C11" s="2">
        <v>9.5887500000000001E-3</v>
      </c>
      <c r="D11" s="2">
        <f t="shared" si="0"/>
        <v>1.879395E-2</v>
      </c>
      <c r="E11" s="3">
        <f t="shared" si="1"/>
        <v>-2.53E-2</v>
      </c>
      <c r="F11" s="3">
        <f t="shared" si="2"/>
        <v>1.8800000000000001E-2</v>
      </c>
    </row>
    <row r="12" spans="1:6" x14ac:dyDescent="0.2">
      <c r="A12" s="2" t="s">
        <v>16</v>
      </c>
      <c r="B12" s="2">
        <v>-0.29426200000000002</v>
      </c>
      <c r="C12" s="2">
        <v>0.110995</v>
      </c>
      <c r="D12" s="2">
        <f t="shared" si="0"/>
        <v>0.2175502</v>
      </c>
      <c r="E12" s="3">
        <f t="shared" si="1"/>
        <v>-0.29399999999999998</v>
      </c>
      <c r="F12" s="3">
        <f t="shared" si="2"/>
        <v>0.218</v>
      </c>
    </row>
    <row r="13" spans="1:6" x14ac:dyDescent="0.2">
      <c r="A13" s="2" t="s">
        <v>17</v>
      </c>
      <c r="B13" s="2">
        <v>-0.72020099999999998</v>
      </c>
      <c r="C13" s="2">
        <v>0.16973099999999999</v>
      </c>
      <c r="D13" s="2">
        <f t="shared" si="0"/>
        <v>0.33267275999999996</v>
      </c>
      <c r="E13" s="3">
        <f t="shared" si="1"/>
        <v>-0.72</v>
      </c>
      <c r="F13" s="3">
        <f t="shared" si="2"/>
        <v>0.33300000000000002</v>
      </c>
    </row>
    <row r="14" spans="1:6" x14ac:dyDescent="0.2">
      <c r="A14" s="2" t="s">
        <v>18</v>
      </c>
      <c r="B14" s="2">
        <v>5.1107600000000003E-2</v>
      </c>
      <c r="C14" s="2">
        <v>6.4611E-3</v>
      </c>
      <c r="D14" s="2">
        <f t="shared" si="0"/>
        <v>1.2663756E-2</v>
      </c>
      <c r="E14" s="3">
        <f t="shared" si="1"/>
        <v>5.11E-2</v>
      </c>
      <c r="F14" s="3">
        <f t="shared" si="2"/>
        <v>1.2699999999999999E-2</v>
      </c>
    </row>
    <row r="15" spans="1:6" x14ac:dyDescent="0.2">
      <c r="A15" s="2" t="s">
        <v>19</v>
      </c>
      <c r="B15" s="2">
        <v>0.73483799999999999</v>
      </c>
      <c r="C15" s="2">
        <v>0.105797</v>
      </c>
      <c r="D15" s="2">
        <f t="shared" si="0"/>
        <v>0.20736212000000001</v>
      </c>
      <c r="E15" s="3">
        <f t="shared" si="1"/>
        <v>0.73499999999999999</v>
      </c>
      <c r="F15" s="3">
        <f t="shared" si="2"/>
        <v>0.20699999999999999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Ewan Smith (student)</cp:lastModifiedBy>
  <dcterms:created xsi:type="dcterms:W3CDTF">2021-02-04T14:58:35Z</dcterms:created>
  <dcterms:modified xsi:type="dcterms:W3CDTF">2021-02-04T16:25:09Z</dcterms:modified>
</cp:coreProperties>
</file>